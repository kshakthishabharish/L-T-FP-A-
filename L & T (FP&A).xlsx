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 firstSheet="1" activeTab="2"/>
  </bookViews>
  <sheets>
    <sheet name="Balance Sheet" sheetId="1" r:id="rId1"/>
    <sheet name="Income Statement" sheetId="2" r:id="rId2"/>
    <sheet name="Cash Flow" sheetId="3" r:id="rId3"/>
    <sheet name="Financial Ratios" sheetId="4" r:id="rId4"/>
    <sheet name="Financial Analysis" sheetId="8" r:id="rId5"/>
    <sheet name="Dashboard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<sst xmlns="http://schemas.openxmlformats.org/spreadsheetml/2006/main" count="109" uniqueCount="67">
  <si>
    <t>Financial Analysis of L and T Company using its 3 years Annual Reports</t>
  </si>
  <si>
    <t>Balance sheet (2023,24 &amp; 25)</t>
  </si>
  <si>
    <t>₹ in Crores</t>
  </si>
  <si>
    <t>Particulars</t>
  </si>
  <si>
    <t>Equity Share Capital</t>
  </si>
  <si>
    <t>Other Equity</t>
  </si>
  <si>
    <t>Total Equity</t>
  </si>
  <si>
    <t>Total Borrowings</t>
  </si>
  <si>
    <t>Deferred Tax Liability</t>
  </si>
  <si>
    <t>Total Liabilities</t>
  </si>
  <si>
    <t>Fixed Assets</t>
  </si>
  <si>
    <t>Investments</t>
  </si>
  <si>
    <t>Deferred Tax Assets (Net)</t>
  </si>
  <si>
    <t>Net Working Capital</t>
  </si>
  <si>
    <t>Total Assets</t>
  </si>
  <si>
    <t>Source: Larsen &amp; Toubro Ltd., Annual Report</t>
  </si>
  <si>
    <t>Income Statement  (2023,24 &amp; 25)</t>
  </si>
  <si>
    <t>Revenue</t>
  </si>
  <si>
    <t>Operating Expenses</t>
  </si>
  <si>
    <t>Profit before exceptional 
items and tax</t>
  </si>
  <si>
    <t>Profit Before Tax</t>
  </si>
  <si>
    <t>Profit After Tax</t>
  </si>
  <si>
    <t>Cash Flow Statement  (2023,24 &amp; 25)</t>
  </si>
  <si>
    <t>Cash Flow from 
Operating Activities</t>
  </si>
  <si>
    <t>Cash Flow from 
Investing Activities</t>
  </si>
  <si>
    <t>Cash Flow from 
Financing Activities</t>
  </si>
  <si>
    <t>Net Increase/ Decrease in Cash &amp; Cash Equivalents</t>
  </si>
  <si>
    <t>Opening Cash and Cash Equivalents</t>
  </si>
  <si>
    <t>Closing Cash and Cash Equivalents</t>
  </si>
  <si>
    <t>Key Balance Sheet Data  (2023,24 &amp; 25)</t>
  </si>
  <si>
    <t>Current Assets</t>
  </si>
  <si>
    <t>Current Liabilities</t>
  </si>
  <si>
    <t>Financial Ratios  (2023,24 &amp; 25)</t>
  </si>
  <si>
    <t>Current Ratio</t>
  </si>
  <si>
    <t>Debt Equity Ratio</t>
  </si>
  <si>
    <t>Net Profit Margin (%)</t>
  </si>
  <si>
    <t>Return on Equity (%)</t>
  </si>
  <si>
    <t>Return on Assets</t>
  </si>
  <si>
    <t>Debt Ratio</t>
  </si>
  <si>
    <t>Financial analysis  (2023,24 &amp; 25)</t>
  </si>
  <si>
    <t>Analysis Area</t>
  </si>
  <si>
    <t>Key Observation</t>
  </si>
  <si>
    <t>Revenue Growth</t>
  </si>
  <si>
    <t>-</t>
  </si>
  <si>
    <t>Revenue increased consistently over the three-year period, indicating strong business growth.</t>
  </si>
  <si>
    <t>PAT Growth</t>
  </si>
  <si>
    <t>PAT increased consistently over the three-year period, reflecting improved profitability.</t>
  </si>
  <si>
    <t>The ratio remained above 1, indicating adequate short-term liquidity, though it gradually declined.</t>
  </si>
  <si>
    <t>The ratio remained relatively stable, indicating a consistent balance between borrowings and equity.</t>
  </si>
  <si>
    <t>Net Profit Margin</t>
  </si>
  <si>
    <t>Profit margins remained stable, with FY2024 showing the highest margin.</t>
  </si>
  <si>
    <t>Return on Equity</t>
  </si>
  <si>
    <t>ROE improved significantly compared with FY2023, showing better profitability generated from equity.</t>
  </si>
  <si>
    <t>ROA improved steadily, indicating better utilisation of the company's asset base.</t>
  </si>
  <si>
    <t>The debt ratio remained relatively stable, showing that a significant portion of assets is financed through liabilities.</t>
  </si>
  <si>
    <t>LARSEN AND TOUBRO- FINANCIAL PERFORMANCE DASHBOARD</t>
  </si>
  <si>
    <t>Year</t>
  </si>
  <si>
    <t>PAT</t>
  </si>
  <si>
    <t>Ratio</t>
  </si>
  <si>
    <t>FY 2023</t>
  </si>
  <si>
    <t>FY 2024</t>
  </si>
  <si>
    <t>FY  2025</t>
  </si>
  <si>
    <t>ROE</t>
  </si>
  <si>
    <t>ROA</t>
  </si>
  <si>
    <t>FY 2025</t>
  </si>
  <si>
    <t>Overall Performance Summary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</si>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</sst>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* #,##0.00_ ;_ [$₹-4009]* \-#,##0.00_ ;_ [$₹-4009]* &quot;-&quot;??_ ;_ @_ "/>
    <numFmt numFmtId="181" formatCode="dd/mmm/yy"/>
    <numFmt numFmtId="182" formatCode="0.00_ 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b/>
      <sz val="14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20"/>
      <color theme="1"/>
      <name val="Calibri"/>
      <charset val="134"/>
      <scheme val="minor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Border="1" applyAlignment="1">
      <alignment vertical="center"/>
    </xf>
    <xf numFmtId="180" fontId="4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top" wrapText="1"/>
    </xf>
    <xf numFmtId="181" fontId="5" fillId="0" borderId="0" xfId="0" applyNumberFormat="1" applyFont="1" applyBorder="1" applyAlignment="1">
      <alignment vertical="top" wrapText="1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top"/>
    </xf>
    <xf numFmtId="182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182" fontId="0" fillId="0" borderId="0" xfId="0" applyNumberFormat="1" applyBorder="1">
      <alignment vertical="center"/>
    </xf>
    <xf numFmtId="10" fontId="0" fillId="0" borderId="0" xfId="0" applyNumberFormat="1" applyBorder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7" fillId="0" borderId="0" xfId="0" applyFont="1" applyBorder="1" applyAlignment="1">
      <alignment vertical="top" wrapText="1"/>
    </xf>
    <xf numFmtId="181" fontId="7" fillId="0" borderId="0" xfId="0" applyNumberFormat="1" applyFont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1" xfId="0" applyBorder="1" applyAlignment="1">
      <alignment vertical="center"/>
    </xf>
    <xf numFmtId="181" fontId="7" fillId="0" borderId="1" xfId="0" applyNumberFormat="1" applyFont="1" applyBorder="1" applyAlignment="1">
      <alignment vertical="center" wrapText="1"/>
    </xf>
    <xf numFmtId="10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8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Border="1" applyAlignment="1">
      <alignment horizontal="right" vertical="center"/>
    </xf>
    <xf numFmtId="182" fontId="0" fillId="0" borderId="1" xfId="0" applyNumberFormat="1" applyFont="1" applyBorder="1">
      <alignment vertical="center"/>
    </xf>
    <xf numFmtId="0" fontId="0" fillId="0" borderId="0" xfId="0" applyBorder="1" applyAlignment="1">
      <alignment vertical="center"/>
    </xf>
    <xf numFmtId="180" fontId="0" fillId="0" borderId="0" xfId="0" applyNumberFormat="1" applyBorder="1" applyAlignment="1">
      <alignment vertical="center"/>
    </xf>
    <xf numFmtId="0" fontId="0" fillId="0" borderId="0" xfId="0" applyAlignment="1">
      <alignment horizontal="right" vertical="center"/>
    </xf>
    <xf numFmtId="4" fontId="0" fillId="0" borderId="0" xfId="0" applyNumberFormat="1" applyBorder="1">
      <alignment vertical="center"/>
    </xf>
    <xf numFmtId="4" fontId="0" fillId="0" borderId="1" xfId="0" applyNumberFormat="1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182" fontId="0" fillId="0" borderId="1" xfId="0" applyNumberFormat="1" applyBorder="1" applyAlignment="1">
      <alignment horizontal="right" vertical="center"/>
    </xf>
    <xf numFmtId="4" fontId="0" fillId="0" borderId="0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6" fillId="0" borderId="0" xfId="0" applyFont="1" applyAlignment="1">
      <alignment horizontal="center" vertical="top"/>
    </xf>
    <xf numFmtId="0" fontId="0" fillId="0" borderId="0" xfId="0" applyFont="1">
      <alignment vertical="center"/>
    </xf>
    <xf numFmtId="0" fontId="0" fillId="0" borderId="1" xfId="0" applyFont="1" applyBorder="1" applyAlignment="1">
      <alignment vertical="top"/>
    </xf>
    <xf numFmtId="180" fontId="0" fillId="0" borderId="1" xfId="0" applyNumberFormat="1" applyFont="1" applyBorder="1">
      <alignment vertical="center"/>
    </xf>
    <xf numFmtId="0" fontId="9" fillId="0" borderId="1" xfId="0" applyFont="1" applyBorder="1" applyAlignment="1">
      <alignment vertical="top" wrapText="1"/>
    </xf>
    <xf numFmtId="181" fontId="9" fillId="0" borderId="1" xfId="0" applyNumberFormat="1" applyFont="1" applyBorder="1" applyAlignment="1">
      <alignment vertical="center" wrapText="1"/>
    </xf>
    <xf numFmtId="182" fontId="9" fillId="0" borderId="1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Dashboard!$P$17:$P$19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 2025</c:v>
                </c:pt>
              </c:strCache>
            </c:strRef>
          </c:cat>
          <c:val>
            <c:numRef>
              <c:f>Dashboard!$Q$17:$Q$19</c:f>
              <c:numCache>
                <c:formatCode>0.00_ </c:formatCode>
                <c:ptCount val="3"/>
                <c:pt idx="0">
                  <c:v>183340.7</c:v>
                </c:pt>
                <c:pt idx="1" c:formatCode="General">
                  <c:v>221112.91</c:v>
                </c:pt>
                <c:pt idx="2" c:formatCode="General">
                  <c:v>255734.45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746073213"/>
        <c:axId val="142955797"/>
      </c:barChart>
      <c:lineChart>
        <c:grouping val="standard"/>
        <c:varyColors val="0"/>
        <c:ser>
          <c:idx val="1"/>
          <c:order val="1"/>
          <c:tx>
            <c:strRef>
              <c:f>Dashboard!$R$16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Dashboard!$P$17:$P$19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 2025</c:v>
                </c:pt>
              </c:strCache>
            </c:strRef>
          </c:cat>
          <c:val>
            <c:numRef>
              <c:f>Dashboard!$R$17:$R$19</c:f>
              <c:numCache>
                <c:formatCode>General</c:formatCode>
                <c:ptCount val="3"/>
                <c:pt idx="0">
                  <c:v>12530.62</c:v>
                </c:pt>
                <c:pt idx="1" c:formatCode="0.00_ ">
                  <c:v>15547.1</c:v>
                </c:pt>
                <c:pt idx="2">
                  <c:v>17673.33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9966074"/>
        <c:axId val="632117957"/>
      </c:lineChart>
      <c:catAx>
        <c:axId val="59996607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2117957"/>
        <c:crosses val="autoZero"/>
        <c:auto val="1"/>
        <c:lblAlgn val="ctr"/>
        <c:lblOffset val="100"/>
        <c:noMultiLvlLbl val="0"/>
      </c:catAx>
      <c:valAx>
        <c:axId val="6321179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966074"/>
        <c:crosses val="autoZero"/>
        <c:crossBetween val="between"/>
      </c:valAx>
      <c:catAx>
        <c:axId val="74607321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955797"/>
        <c:crosses val="autoZero"/>
        <c:auto val="1"/>
        <c:lblAlgn val="ctr"/>
        <c:lblOffset val="100"/>
        <c:noMultiLvlLbl val="0"/>
      </c:catAx>
      <c:valAx>
        <c:axId val="142955797"/>
        <c:scaling>
          <c:orientation val="minMax"/>
        </c:scaling>
        <c:delete val="0"/>
        <c:axPos val="r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07321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6b0594-c699-412d-a1af-bf559097cc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Dashboard!$U$17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Dashboard!$V$16:$X$16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 2025</c:v>
                </c:pt>
              </c:strCache>
            </c:strRef>
          </c:cat>
          <c:val>
            <c:numRef>
              <c:f>Dashboard!$V$17:$X$17</c:f>
              <c:numCache>
                <c:formatCode>0.00%</c:formatCode>
                <c:ptCount val="3"/>
                <c:pt idx="0">
                  <c:v>0.0683</c:v>
                </c:pt>
                <c:pt idx="1">
                  <c:v>0.0703</c:v>
                </c:pt>
                <c:pt idx="2">
                  <c:v>0.0691</c:v>
                </c:pt>
              </c:numCache>
            </c:numRef>
          </c:val>
        </c:ser>
        <c:ser>
          <c:idx val="1"/>
          <c:order val="1"/>
          <c:tx>
            <c:strRef>
              <c:f>Dashboard!$U$18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Dashboard!$V$16:$X$16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 2025</c:v>
                </c:pt>
              </c:strCache>
            </c:strRef>
          </c:cat>
          <c:val>
            <c:numRef>
              <c:f>Dashboard!$V$18:$X$18</c:f>
              <c:numCache>
                <c:formatCode>0.00%</c:formatCode>
                <c:ptCount val="3"/>
                <c:pt idx="0">
                  <c:v>0.121</c:v>
                </c:pt>
                <c:pt idx="1">
                  <c:v>0.1561</c:v>
                </c:pt>
                <c:pt idx="2">
                  <c:v>0.1531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8744917"/>
        <c:axId val="551961713"/>
      </c:barChart>
      <c:lineChart>
        <c:grouping val="standard"/>
        <c:varyColors val="0"/>
        <c:ser>
          <c:idx val="2"/>
          <c:order val="2"/>
          <c:tx>
            <c:strRef>
              <c:f>Dashboard!$U$19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Dashboard!$V$16:$X$16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 2025</c:v>
                </c:pt>
              </c:strCache>
            </c:strRef>
          </c:cat>
          <c:val>
            <c:numRef>
              <c:f>Dashboard!$V$19:$X$19</c:f>
              <c:numCache>
                <c:formatCode>0.00%</c:formatCode>
                <c:ptCount val="3"/>
                <c:pt idx="0">
                  <c:v>0.0379</c:v>
                </c:pt>
                <c:pt idx="1">
                  <c:v>0.0457</c:v>
                </c:pt>
                <c:pt idx="2">
                  <c:v>0.0466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48744917"/>
        <c:axId val="551961713"/>
      </c:lineChart>
      <c:catAx>
        <c:axId val="94874491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961713"/>
        <c:crosses val="autoZero"/>
        <c:auto val="1"/>
        <c:lblAlgn val="ctr"/>
        <c:lblOffset val="100"/>
        <c:noMultiLvlLbl val="0"/>
      </c:catAx>
      <c:valAx>
        <c:axId val="5519617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874491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1f5b23-28b7-4cb4-8502-27d8cb0d76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Dashboard!$P$23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Dashboard!$Q$22:$S$22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 2025</c:v>
                </c:pt>
              </c:strCache>
            </c:strRef>
          </c:cat>
          <c:val>
            <c:numRef>
              <c:f>Dashboard!$Q$23:$S$23</c:f>
              <c:numCache>
                <c:formatCode>General</c:formatCode>
                <c:ptCount val="3"/>
                <c:pt idx="0">
                  <c:v>1.36</c:v>
                </c:pt>
                <c:pt idx="1">
                  <c:v>1.23</c:v>
                </c:pt>
                <c:pt idx="2">
                  <c:v>1.21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Dashboard!$P$24</c:f>
              <c:strCache>
                <c:ptCount val="1"/>
                <c:pt idx="0">
                  <c:v>Debt Equity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Dashboard!$Q$22:$S$22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 2025</c:v>
                </c:pt>
              </c:strCache>
            </c:strRef>
          </c:cat>
          <c:val>
            <c:numRef>
              <c:f>Dashboard!$Q$24:$S$24</c:f>
              <c:numCache>
                <c:formatCode>General</c:formatCode>
                <c:ptCount val="3"/>
                <c:pt idx="0">
                  <c:v>1.14</c:v>
                </c:pt>
                <c:pt idx="1">
                  <c:v>1.11</c:v>
                </c:pt>
                <c:pt idx="2">
                  <c:v>1.12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11667637"/>
        <c:axId val="460651595"/>
      </c:lineChart>
      <c:catAx>
        <c:axId val="911667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60651595"/>
        <c:crosses val="autoZero"/>
        <c:auto val="1"/>
        <c:lblAlgn val="ctr"/>
        <c:lblOffset val="100"/>
        <c:noMultiLvlLbl val="0"/>
      </c:catAx>
      <c:valAx>
        <c:axId val="4606515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1166763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ea3809-b95f-4784-90e5-13de12f8cd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Dashboard!$U$23</c:f>
              <c:strCache>
                <c:ptCount val="1"/>
                <c:pt idx="0">
                  <c:v>Debt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Dashboard!$V$22:$X$22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Dashboard!$V$23:$X$23</c:f>
              <c:numCache>
                <c:formatCode>0.00%</c:formatCode>
                <c:ptCount val="3"/>
                <c:pt idx="0">
                  <c:v>0.6865</c:v>
                </c:pt>
                <c:pt idx="1">
                  <c:v>0.698</c:v>
                </c:pt>
                <c:pt idx="2">
                  <c:v>0.6959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0"/>
        <c:axId val="256301754"/>
        <c:axId val="732660069"/>
      </c:barChart>
      <c:catAx>
        <c:axId val="2563017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2660069"/>
        <c:crosses val="autoZero"/>
        <c:auto val="1"/>
        <c:lblAlgn val="ctr"/>
        <c:lblOffset val="100"/>
        <c:noMultiLvlLbl val="0"/>
      </c:catAx>
      <c:valAx>
        <c:axId val="7326600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630175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407e8d-03a3-486d-af12-147e48f42c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603250</xdr:colOff>
      <xdr:row>14</xdr:row>
      <xdr:rowOff>34925</xdr:rowOff>
    </xdr:from>
    <xdr:to>
      <xdr:col>6</xdr:col>
      <xdr:colOff>675640</xdr:colOff>
      <xdr:row>28</xdr:row>
      <xdr:rowOff>168275</xdr:rowOff>
    </xdr:to>
    <xdr:graphicFrame>
      <xdr:nvGraphicFramePr>
        <xdr:cNvPr id="4" name="Chart 3"/>
        <xdr:cNvGraphicFramePr/>
      </xdr:nvGraphicFramePr>
      <xdr:xfrm>
        <a:off x="603250" y="2825750"/>
        <a:ext cx="476821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14</xdr:row>
      <xdr:rowOff>57150</xdr:rowOff>
    </xdr:from>
    <xdr:to>
      <xdr:col>14</xdr:col>
      <xdr:colOff>248285</xdr:colOff>
      <xdr:row>28</xdr:row>
      <xdr:rowOff>162560</xdr:rowOff>
    </xdr:to>
    <xdr:graphicFrame>
      <xdr:nvGraphicFramePr>
        <xdr:cNvPr id="5" name="Chart 4"/>
        <xdr:cNvGraphicFramePr/>
      </xdr:nvGraphicFramePr>
      <xdr:xfrm>
        <a:off x="5450205" y="2847975"/>
        <a:ext cx="5285105" cy="2772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593725</xdr:colOff>
      <xdr:row>29</xdr:row>
      <xdr:rowOff>19050</xdr:rowOff>
    </xdr:from>
    <xdr:to>
      <xdr:col>6</xdr:col>
      <xdr:colOff>683895</xdr:colOff>
      <xdr:row>42</xdr:row>
      <xdr:rowOff>0</xdr:rowOff>
    </xdr:to>
    <xdr:graphicFrame>
      <xdr:nvGraphicFramePr>
        <xdr:cNvPr id="6" name="Chart 5" descr="7b0a202020202263686172745265734964223a20223230343731343133220a7d0a"/>
        <xdr:cNvGraphicFramePr/>
      </xdr:nvGraphicFramePr>
      <xdr:xfrm>
        <a:off x="593725" y="5667375"/>
        <a:ext cx="4785995" cy="2457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3175</xdr:colOff>
      <xdr:row>29</xdr:row>
      <xdr:rowOff>19050</xdr:rowOff>
    </xdr:from>
    <xdr:to>
      <xdr:col>14</xdr:col>
      <xdr:colOff>247650</xdr:colOff>
      <xdr:row>41</xdr:row>
      <xdr:rowOff>172720</xdr:rowOff>
    </xdr:to>
    <xdr:graphicFrame>
      <xdr:nvGraphicFramePr>
        <xdr:cNvPr id="7" name="Chart 6"/>
        <xdr:cNvGraphicFramePr/>
      </xdr:nvGraphicFramePr>
      <xdr:xfrm>
        <a:off x="5403850" y="5667375"/>
        <a:ext cx="5330825" cy="2439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</xdr:col>
      <xdr:colOff>0</xdr:colOff>
      <xdr:row>62</xdr:row>
      <xdr:rowOff>0</xdr:rowOff>
    </xdr:from>
    <xdr:ext cx="5774690" cy="759460"/>
    <xdr:sp>
      <xdr:nvSpPr>
        <xdr:cNvPr id="2" name="Text Box 1"/>
        <xdr:cNvSpPr txBox="1"/>
      </xdr:nvSpPr>
      <xdr:spPr>
        <a:xfrm>
          <a:off x="2466975" y="12058650"/>
          <a:ext cx="5774690" cy="7594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1200">
              <a:latin typeface="Times New Roman" panose="02020603050405020304" charset="0"/>
              <a:cs typeface="Times New Roman" panose="02020603050405020304" charset="0"/>
            </a:rPr>
            <a:t>Larsen &amp; Toubro demonstrated strong revenue and profit growth during FY 2023–FY 2025.</a:t>
          </a:r>
          <a:endParaRPr lang="en-US" sz="1200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200">
              <a:latin typeface="Times New Roman" panose="02020603050405020304" charset="0"/>
              <a:cs typeface="Times New Roman" panose="02020603050405020304" charset="0"/>
            </a:rPr>
            <a:t>Profitability and shareholder returns remained strong, while the liquidity position showed a </a:t>
          </a:r>
          <a:endParaRPr lang="en-US" sz="1200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200">
              <a:latin typeface="Times New Roman" panose="02020603050405020304" charset="0"/>
              <a:cs typeface="Times New Roman" panose="02020603050405020304" charset="0"/>
            </a:rPr>
            <a:t>gradual decline and debt levels require continued monitoring.</a:t>
          </a:r>
          <a:endParaRPr lang="en-US" sz="1200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oneCellAnchor>
  <xdr:oneCellAnchor>
    <xdr:from>
      <xdr:col>2</xdr:col>
      <xdr:colOff>123825</xdr:colOff>
      <xdr:row>45</xdr:row>
      <xdr:rowOff>9525</xdr:rowOff>
    </xdr:from>
    <xdr:ext cx="8579485" cy="2284095"/>
    <xdr:sp>
      <xdr:nvSpPr>
        <xdr:cNvPr id="3" name="Text Box 2"/>
        <xdr:cNvSpPr txBox="1"/>
      </xdr:nvSpPr>
      <xdr:spPr>
        <a:xfrm>
          <a:off x="1781175" y="8753475"/>
          <a:ext cx="8579485" cy="22840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/>
            <a:t>1. Revenue Growth 📈</a:t>
          </a:r>
          <a:endParaRPr lang="en-US" sz="1100"/>
        </a:p>
        <a:p>
          <a:pPr algn="l"/>
          <a:r>
            <a:rPr lang="en-US" sz="1100"/>
            <a:t>Revenue increased consistently from FY 2023 to FY 2025, indicating strong business growth.</a:t>
          </a:r>
          <a:endParaRPr lang="en-US" sz="1100"/>
        </a:p>
        <a:p>
          <a:pPr algn="l"/>
          <a:r>
            <a:rPr lang="en-US" sz="1100"/>
            <a:t>2. Profitability 💰</a:t>
          </a:r>
          <a:endParaRPr lang="en-US" sz="1100"/>
        </a:p>
        <a:p>
          <a:pPr algn="l"/>
          <a:r>
            <a:rPr lang="en-US" sz="1100"/>
            <a:t>PAT increased from ₹12,530.62 Cr in FY 2023 to ₹17,673.33 Cr in FY 2025, showing an overall improvement in profitability.</a:t>
          </a:r>
          <a:endParaRPr lang="en-US" sz="1100"/>
        </a:p>
        <a:p>
          <a:pPr algn="l"/>
          <a:r>
            <a:rPr lang="en-US" sz="1100"/>
            <a:t>3. Net Profit Margin 📊</a:t>
          </a:r>
          <a:endParaRPr lang="en-US" sz="1100"/>
        </a:p>
        <a:p>
          <a:pPr algn="l"/>
          <a:r>
            <a:rPr lang="en-US" sz="1100"/>
            <a:t>Net Profit Margin improved in FY 2024 but slightly declined in FY 2025, indicating a need to monitor cost efficiency.</a:t>
          </a:r>
          <a:endParaRPr lang="en-US" sz="1100"/>
        </a:p>
        <a:p>
          <a:pPr algn="l"/>
          <a:r>
            <a:rPr lang="en-US" sz="1100"/>
            <a:t>4. Return on Equity (ROE) 📈</a:t>
          </a:r>
          <a:endParaRPr lang="en-US" sz="1100"/>
        </a:p>
        <a:p>
          <a:pPr algn="l"/>
          <a:r>
            <a:rPr lang="en-US" sz="1100"/>
            <a:t>ROE improved significantly from FY 2023 to FY 2024 and remained strong in FY 2025, reflecting effective utilization of shareholders' equity.</a:t>
          </a:r>
          <a:endParaRPr lang="en-US" sz="1100"/>
        </a:p>
        <a:p>
          <a:pPr algn="l"/>
          <a:r>
            <a:rPr lang="en-US" sz="1100"/>
            <a:t>5. Liquidity Position 💧</a:t>
          </a:r>
          <a:endParaRPr lang="en-US" sz="1100"/>
        </a:p>
        <a:p>
          <a:pPr algn="l"/>
          <a:r>
            <a:rPr lang="en-US" sz="1100"/>
            <a:t>The Current Ratio declined from 1.36 to 1.21 over the three-year period but remained above 1, indicating an adequate short-term liquidity position.</a:t>
          </a:r>
          <a:endParaRPr lang="en-US" sz="1100"/>
        </a:p>
        <a:p>
          <a:pPr algn="l"/>
          <a:r>
            <a:rPr lang="en-US" sz="1100"/>
            <a:t>6. Debt Position 🏦</a:t>
          </a:r>
          <a:endParaRPr lang="en-US" sz="1100"/>
        </a:p>
        <a:p>
          <a:pPr algn="l"/>
          <a:r>
            <a:rPr lang="en-US" sz="1100"/>
            <a:t>The Debt Ratio increased sharply in FY 2024 and remained relatively high in FY 2025, suggesting increased dependence on debt financing.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3"/>
  <sheetViews>
    <sheetView topLeftCell="A14" workbookViewId="0">
      <selection activeCell="F23" sqref="F23:I23"/>
    </sheetView>
  </sheetViews>
  <sheetFormatPr defaultColWidth="9.14285714285714" defaultRowHeight="15"/>
  <cols>
    <col min="3" max="3" width="26.4285714285714" style="16" customWidth="1"/>
    <col min="4" max="4" width="17" customWidth="1"/>
    <col min="5" max="6" width="16.5714285714286" customWidth="1"/>
  </cols>
  <sheetData>
    <row r="2" ht="18.75" spans="2:7">
      <c r="C2" s="51" t="s">
        <v>0</v>
      </c>
      <c r="D2" s="51"/>
      <c r="E2" s="51"/>
      <c r="F2" s="51"/>
      <c r="G2" s="51"/>
    </row>
    <row r="3" spans="2:7">
      <c r="B3" s="52"/>
    </row>
    <row r="4" spans="2:7">
      <c r="B4" s="52"/>
    </row>
    <row r="5" ht="18.75" spans="2:7">
      <c r="B5" s="52"/>
      <c r="C5" s="51" t="s">
        <v>1</v>
      </c>
      <c r="D5" s="17"/>
      <c r="E5" s="17"/>
      <c r="F5" s="17"/>
    </row>
    <row r="6" spans="2:7">
      <c r="B6" s="52"/>
    </row>
    <row r="7" spans="2:7">
      <c r="B7" s="52"/>
    </row>
    <row r="8" spans="2:7">
      <c r="B8" s="52"/>
      <c r="C8" s="53"/>
      <c r="D8" s="54" t="s">
        <v>2</v>
      </c>
      <c r="E8" s="38" t="s">
        <v>2</v>
      </c>
      <c r="F8" s="38" t="s">
        <v>2</v>
      </c>
    </row>
    <row r="9" spans="2:7">
      <c r="B9" s="52"/>
      <c r="C9" s="55" t="s">
        <v>3</v>
      </c>
      <c r="D9" s="56">
        <v>45747</v>
      </c>
      <c r="E9" s="56">
        <v>45382</v>
      </c>
      <c r="F9" s="56">
        <v>45016</v>
      </c>
    </row>
    <row r="10" spans="2:7">
      <c r="B10" s="52"/>
      <c r="C10" s="55" t="s">
        <v>4</v>
      </c>
      <c r="D10" s="38">
        <v>275.04</v>
      </c>
      <c r="E10" s="57">
        <v>274.93</v>
      </c>
      <c r="F10" s="57">
        <v>281.1</v>
      </c>
    </row>
    <row r="11" spans="2:7">
      <c r="B11" s="52"/>
      <c r="C11" s="55" t="s">
        <v>5</v>
      </c>
      <c r="D11" s="38">
        <v>97380.56</v>
      </c>
      <c r="E11" s="57">
        <v>86084.31</v>
      </c>
      <c r="F11" s="57">
        <v>89044.85</v>
      </c>
    </row>
    <row r="12" spans="2:7">
      <c r="B12" s="52"/>
      <c r="C12" s="55" t="s">
        <v>6</v>
      </c>
      <c r="D12" s="38">
        <v>115403.68</v>
      </c>
      <c r="E12" s="57">
        <v>102549.66</v>
      </c>
      <c r="F12" s="57">
        <v>103567.22</v>
      </c>
    </row>
    <row r="13" spans="2:7">
      <c r="B13" s="52"/>
      <c r="C13" s="55" t="s">
        <v>7</v>
      </c>
      <c r="D13" s="38">
        <v>129559.34</v>
      </c>
      <c r="E13" s="57">
        <v>114040</v>
      </c>
      <c r="F13" s="57">
        <v>118351.38</v>
      </c>
    </row>
    <row r="14" spans="2:7">
      <c r="B14" s="52"/>
      <c r="C14" s="55" t="s">
        <v>8</v>
      </c>
      <c r="D14" s="38">
        <v>410.01</v>
      </c>
      <c r="E14" s="57">
        <v>533.63</v>
      </c>
      <c r="F14" s="57">
        <v>630.43</v>
      </c>
    </row>
    <row r="15" spans="2:7">
      <c r="C15" s="55" t="s">
        <v>9</v>
      </c>
      <c r="D15" s="38">
        <v>264120.42</v>
      </c>
      <c r="E15" s="57">
        <v>237077.58</v>
      </c>
      <c r="F15" s="57">
        <v>226785.09</v>
      </c>
    </row>
    <row r="16" spans="2:7">
      <c r="C16" s="55" t="s">
        <v>10</v>
      </c>
      <c r="D16" s="38">
        <v>14128.56</v>
      </c>
      <c r="E16" s="57">
        <v>13297.64</v>
      </c>
      <c r="F16" s="57">
        <v>11336.28</v>
      </c>
    </row>
    <row r="17" spans="3:9">
      <c r="C17" s="55" t="s">
        <v>11</v>
      </c>
      <c r="D17" s="40">
        <v>54805.27</v>
      </c>
      <c r="E17" s="57">
        <v>45647.82</v>
      </c>
      <c r="F17" s="57">
        <v>44798.31</v>
      </c>
    </row>
    <row r="18" spans="3:9">
      <c r="C18" s="55" t="s">
        <v>12</v>
      </c>
      <c r="D18" s="40">
        <v>3792.88</v>
      </c>
      <c r="E18" s="57">
        <v>3863.72</v>
      </c>
      <c r="F18" s="57">
        <v>3984.79</v>
      </c>
    </row>
    <row r="19" spans="3:9">
      <c r="C19" s="55" t="s">
        <v>13</v>
      </c>
      <c r="D19" s="38">
        <v>43213.37</v>
      </c>
      <c r="E19" s="57">
        <v>40487.78</v>
      </c>
      <c r="F19" s="57">
        <v>59149.53</v>
      </c>
    </row>
    <row r="20" spans="3:9">
      <c r="C20" s="55" t="s">
        <v>14</v>
      </c>
      <c r="D20" s="40">
        <v>379524.1</v>
      </c>
      <c r="E20" s="57">
        <v>339627.24</v>
      </c>
      <c r="F20" s="57">
        <v>330352.31</v>
      </c>
    </row>
    <row r="23" spans="3:9">
      <c r="F23" s="22" t="s">
        <v>15</v>
      </c>
      <c r="G23" s="22"/>
      <c r="H23" s="22"/>
      <c r="I23" s="22"/>
    </row>
  </sheetData>
  <mergeCells count="3">
    <mergeCell ref="C2:G2"/>
    <mergeCell ref="C5:F5"/>
    <mergeCell ref="F23:I23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5"/>
  <sheetViews>
    <sheetView workbookViewId="0">
      <selection activeCell="F15" sqref="F15:J15"/>
    </sheetView>
  </sheetViews>
  <sheetFormatPr defaultColWidth="9.14285714285714" defaultRowHeight="15"/>
  <cols>
    <col min="3" max="3" width="24.1428571428571" customWidth="1"/>
    <col min="4" max="4" width="12.1428571428571" customWidth="1"/>
    <col min="5" max="5" width="11.7142857142857" customWidth="1"/>
    <col min="6" max="6" width="11.7142857142857"/>
    <col min="11" max="11" width="11.4285714285714" customWidth="1"/>
  </cols>
  <sheetData>
    <row r="3" ht="18.75" spans="3:11">
      <c r="C3" s="18" t="s">
        <v>16</v>
      </c>
      <c r="D3" s="19"/>
      <c r="E3" s="19"/>
      <c r="F3" s="19"/>
    </row>
    <row r="6" ht="31" customHeight="1" spans="3:11">
      <c r="C6" s="26"/>
      <c r="D6" s="36" t="s">
        <v>2</v>
      </c>
      <c r="E6" s="36" t="s">
        <v>2</v>
      </c>
      <c r="F6" s="26" t="s">
        <v>2</v>
      </c>
      <c r="J6" s="46"/>
      <c r="K6" s="46"/>
    </row>
    <row r="7" ht="15.75" spans="3:11">
      <c r="C7" s="37" t="s">
        <v>3</v>
      </c>
      <c r="D7" s="27">
        <v>45747</v>
      </c>
      <c r="E7" s="27">
        <v>45382</v>
      </c>
      <c r="F7" s="27">
        <v>45016</v>
      </c>
      <c r="J7" s="46"/>
      <c r="K7" s="46"/>
    </row>
    <row r="8" spans="3:11">
      <c r="C8" s="10" t="s">
        <v>17</v>
      </c>
      <c r="D8" s="10">
        <v>255734.45</v>
      </c>
      <c r="E8" s="39">
        <v>221112.91</v>
      </c>
      <c r="F8" s="48">
        <v>183340.7</v>
      </c>
      <c r="J8" s="49"/>
      <c r="K8" s="44"/>
    </row>
    <row r="9" spans="3:11">
      <c r="C9" s="10" t="s">
        <v>18</v>
      </c>
      <c r="D9" s="10">
        <v>236755.26</v>
      </c>
      <c r="E9" s="39">
        <v>204847.44</v>
      </c>
      <c r="F9" s="39">
        <v>169296.04</v>
      </c>
      <c r="J9" s="49"/>
      <c r="K9" s="44"/>
    </row>
    <row r="10" ht="30" spans="3:11">
      <c r="C10" s="30" t="s">
        <v>19</v>
      </c>
      <c r="D10" s="10">
        <v>23104.01</v>
      </c>
      <c r="E10" s="50">
        <v>20432.5</v>
      </c>
      <c r="F10" s="45">
        <v>16973.04</v>
      </c>
      <c r="J10" s="49"/>
      <c r="K10" s="44"/>
    </row>
    <row r="11" spans="3:11">
      <c r="C11" s="10" t="s">
        <v>20</v>
      </c>
      <c r="D11" s="10">
        <v>23578.79</v>
      </c>
      <c r="E11" s="50">
        <v>20517.11</v>
      </c>
      <c r="F11" s="45">
        <v>17109.03</v>
      </c>
    </row>
    <row r="12" spans="3:11">
      <c r="C12" s="10" t="s">
        <v>21</v>
      </c>
      <c r="D12" s="10">
        <v>17673.33</v>
      </c>
      <c r="E12" s="50">
        <v>15547.1</v>
      </c>
      <c r="F12" s="45">
        <v>12530.62</v>
      </c>
    </row>
    <row r="15" spans="3:11">
      <c r="F15" s="22" t="s">
        <v>15</v>
      </c>
      <c r="G15" s="22"/>
      <c r="H15" s="22"/>
      <c r="I15" s="22"/>
    </row>
  </sheetData>
  <mergeCells count="2">
    <mergeCell ref="C3:F3"/>
    <mergeCell ref="F15:I15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4"/>
  <sheetViews>
    <sheetView tabSelected="1" topLeftCell="A3" workbookViewId="0">
      <selection activeCell="J10" sqref="J10"/>
    </sheetView>
  </sheetViews>
  <sheetFormatPr defaultColWidth="9.14285714285714" defaultRowHeight="15"/>
  <cols>
    <col min="2" max="2" width="27.8571428571429" customWidth="1"/>
    <col min="3" max="3" width="12.1428571428571" customWidth="1"/>
    <col min="4" max="4" width="11.7142857142857" customWidth="1"/>
    <col min="5" max="5" width="11.7142857142857"/>
  </cols>
  <sheetData>
    <row r="2" ht="18.75" spans="2:10">
      <c r="B2" s="18" t="s">
        <v>22</v>
      </c>
      <c r="C2" s="19"/>
      <c r="D2" s="19"/>
      <c r="E2" s="19"/>
    </row>
    <row r="4" customHeight="1"/>
    <row r="5" ht="44" customHeight="1" spans="2:10">
      <c r="B5" s="26"/>
      <c r="C5" s="36" t="s">
        <v>2</v>
      </c>
      <c r="D5" s="36" t="s">
        <v>2</v>
      </c>
      <c r="E5" s="26" t="s">
        <v>2</v>
      </c>
    </row>
    <row r="6" ht="15.75" spans="2:10">
      <c r="B6" s="37" t="s">
        <v>3</v>
      </c>
      <c r="C6" s="27">
        <v>45747</v>
      </c>
      <c r="D6" s="27">
        <v>45382</v>
      </c>
      <c r="E6" s="27">
        <v>45016</v>
      </c>
      <c r="I6" s="44"/>
      <c r="J6" s="44"/>
    </row>
    <row r="7" ht="30" customHeight="1" spans="2:10">
      <c r="B7" s="30" t="s">
        <v>23</v>
      </c>
      <c r="C7" s="10">
        <v>9160.71</v>
      </c>
      <c r="D7" s="45">
        <v>18266.28</v>
      </c>
      <c r="E7" s="45">
        <v>22776.96</v>
      </c>
      <c r="I7" s="44"/>
      <c r="J7" s="44"/>
    </row>
    <row r="8" ht="30" spans="2:10">
      <c r="B8" s="30" t="s">
        <v>24</v>
      </c>
      <c r="C8" s="10">
        <v>-15517.51</v>
      </c>
      <c r="D8" s="45">
        <v>2163.04</v>
      </c>
      <c r="E8" s="45">
        <v>-8311.7</v>
      </c>
      <c r="I8" s="44"/>
      <c r="J8" s="46"/>
    </row>
    <row r="9" ht="30" spans="2:10">
      <c r="B9" s="47" t="s">
        <v>25</v>
      </c>
      <c r="C9" s="10">
        <v>6556.62</v>
      </c>
      <c r="D9" s="45">
        <v>-25413.36</v>
      </c>
      <c r="E9" s="39">
        <v>-11572.49</v>
      </c>
      <c r="I9" s="44"/>
      <c r="J9" s="44"/>
    </row>
    <row r="10" ht="30" spans="2:10">
      <c r="B10" s="47" t="s">
        <v>26</v>
      </c>
      <c r="C10" s="12">
        <v>199.82</v>
      </c>
      <c r="D10" s="45">
        <v>-4984.04</v>
      </c>
      <c r="E10" s="45">
        <v>2892.77</v>
      </c>
    </row>
    <row r="11" ht="30" spans="2:10">
      <c r="B11" s="30" t="s">
        <v>27</v>
      </c>
      <c r="C11" s="12">
        <v>11958.5</v>
      </c>
      <c r="D11" s="10">
        <v>16926.69</v>
      </c>
      <c r="E11" s="10">
        <v>13770.24</v>
      </c>
    </row>
    <row r="12" ht="30" spans="2:10">
      <c r="B12" s="30" t="s">
        <v>28</v>
      </c>
      <c r="C12" s="12">
        <v>12187</v>
      </c>
      <c r="D12" s="12">
        <v>11958.5</v>
      </c>
      <c r="E12" s="10">
        <v>16926.69</v>
      </c>
    </row>
    <row r="14" spans="2:10">
      <c r="E14" s="22" t="s">
        <v>15</v>
      </c>
      <c r="F14" s="22"/>
      <c r="G14" s="22"/>
      <c r="H14" s="22"/>
    </row>
  </sheetData>
  <mergeCells count="2">
    <mergeCell ref="B2:E2"/>
    <mergeCell ref="E14:H14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J23"/>
  <sheetViews>
    <sheetView topLeftCell="A8" workbookViewId="0">
      <selection activeCell="G23" sqref="G23:J23"/>
    </sheetView>
  </sheetViews>
  <sheetFormatPr defaultColWidth="9.14285714285714" defaultRowHeight="15"/>
  <cols>
    <col min="2" max="2" width="10" customWidth="1"/>
    <col min="3" max="3" width="12.1428571428571" customWidth="1"/>
    <col min="4" max="4" width="21.5714285714286" customWidth="1"/>
    <col min="5" max="7" width="11.7142857142857"/>
    <col min="9" max="10" width="11.7142857142857"/>
  </cols>
  <sheetData>
    <row r="2" ht="18.75" spans="4:8">
      <c r="D2" s="18" t="s">
        <v>29</v>
      </c>
      <c r="E2" s="19"/>
      <c r="F2" s="19"/>
      <c r="G2" s="19"/>
    </row>
    <row r="4" ht="18" customHeight="1" spans="4:8">
      <c r="D4" s="26"/>
      <c r="E4" s="36" t="s">
        <v>2</v>
      </c>
      <c r="F4" s="36" t="s">
        <v>2</v>
      </c>
      <c r="G4" s="26" t="s">
        <v>2</v>
      </c>
    </row>
    <row r="5" ht="15.75" spans="4:8">
      <c r="D5" s="37" t="s">
        <v>3</v>
      </c>
      <c r="E5" s="27">
        <v>45747</v>
      </c>
      <c r="F5" s="27">
        <v>45382</v>
      </c>
      <c r="G5" s="27">
        <v>45016</v>
      </c>
    </row>
    <row r="6" spans="4:8">
      <c r="D6" s="10" t="s">
        <v>30</v>
      </c>
      <c r="E6" s="38">
        <v>245184.27</v>
      </c>
      <c r="F6" s="39">
        <v>217583.24</v>
      </c>
      <c r="G6" s="39">
        <v>221215.52</v>
      </c>
    </row>
    <row r="7" spans="4:8">
      <c r="D7" s="10" t="s">
        <v>31</v>
      </c>
      <c r="E7" s="40">
        <v>201970.9</v>
      </c>
      <c r="F7" s="39">
        <v>177109.46</v>
      </c>
      <c r="G7" s="39">
        <v>162065.99</v>
      </c>
    </row>
    <row r="8" spans="4:8">
      <c r="D8" s="10" t="s">
        <v>6</v>
      </c>
      <c r="E8" s="10">
        <v>115403.68</v>
      </c>
      <c r="F8" s="39">
        <v>102549.66</v>
      </c>
      <c r="G8" s="39">
        <v>103547.22</v>
      </c>
    </row>
    <row r="9" spans="4:8">
      <c r="D9" s="10" t="s">
        <v>14</v>
      </c>
      <c r="E9" s="12">
        <v>379524.1</v>
      </c>
      <c r="F9" s="39">
        <v>339627.24</v>
      </c>
      <c r="G9" s="39">
        <v>330352.31</v>
      </c>
    </row>
    <row r="12" ht="18.75" spans="4:8">
      <c r="D12" s="18" t="s">
        <v>32</v>
      </c>
      <c r="E12" s="19"/>
      <c r="F12" s="19"/>
      <c r="G12" s="19"/>
    </row>
    <row r="13" spans="4:8">
      <c r="D13" s="41"/>
      <c r="E13" s="42"/>
      <c r="F13" s="41"/>
    </row>
    <row r="15" ht="15.75" spans="4:8">
      <c r="D15" s="37" t="s">
        <v>3</v>
      </c>
      <c r="E15" s="27">
        <v>45747</v>
      </c>
      <c r="F15" s="27">
        <v>45382</v>
      </c>
      <c r="G15" s="27">
        <v>45016</v>
      </c>
    </row>
    <row r="16" spans="4:8">
      <c r="D16" s="10" t="s">
        <v>33</v>
      </c>
      <c r="E16" s="12">
        <f>E6/E7</f>
        <v>1.21395839697699</v>
      </c>
      <c r="F16" s="12">
        <f>F6/F7</f>
        <v>1.22852410029368</v>
      </c>
      <c r="G16" s="12">
        <f>G6/G7</f>
        <v>1.3649718858349</v>
      </c>
      <c r="H16" s="43"/>
    </row>
    <row r="17" spans="4:10">
      <c r="D17" s="10" t="s">
        <v>34</v>
      </c>
      <c r="E17" s="12">
        <f>'Balance Sheet'!D13/'Balance Sheet'!D12</f>
        <v>1.12266211961352</v>
      </c>
      <c r="F17" s="12">
        <f>'Balance Sheet'!E13/F8</f>
        <v>1.11204659284097</v>
      </c>
      <c r="G17" s="12">
        <f>'Balance Sheet'!F13/G8</f>
        <v>1.14297013478488</v>
      </c>
      <c r="H17" s="43"/>
    </row>
    <row r="18" spans="4:10">
      <c r="D18" s="10" t="s">
        <v>35</v>
      </c>
      <c r="E18" s="12">
        <f>'Income Statement'!D12/'Income Statement'!D8*100</f>
        <v>6.91081315012506</v>
      </c>
      <c r="F18" s="12">
        <f>'Income Statement'!E12/'Income Statement'!E8*100</f>
        <v>7.0312945544428</v>
      </c>
      <c r="G18" s="12">
        <f>'Income Statement'!F12/'Income Statement'!F8*100</f>
        <v>6.83460900934708</v>
      </c>
      <c r="H18" s="43"/>
    </row>
    <row r="19" spans="4:10">
      <c r="D19" s="10" t="s">
        <v>36</v>
      </c>
      <c r="E19" s="12">
        <f>'Income Statement'!D12/E8*100</f>
        <v>15.3143556600621</v>
      </c>
      <c r="F19" s="12">
        <f>'Income Statement'!E12/F8*100</f>
        <v>15.160557333881</v>
      </c>
      <c r="G19" s="12">
        <f>'Income Statement'!F12/G8*100</f>
        <v>12.1013582016012</v>
      </c>
      <c r="H19" s="43"/>
    </row>
    <row r="20" spans="4:10">
      <c r="D20" s="10" t="s">
        <v>37</v>
      </c>
      <c r="E20" s="12">
        <f>'Income Statement'!D12/E9*100</f>
        <v>4.65670823012294</v>
      </c>
      <c r="F20" s="12">
        <f>'Income Statement'!E12/F9*100</f>
        <v>4.57769524022867</v>
      </c>
      <c r="G20" s="12">
        <f>'Income Statement'!F12/G9*100</f>
        <v>3.79310803063554</v>
      </c>
    </row>
    <row r="21" spans="4:10">
      <c r="D21" s="10" t="s">
        <v>38</v>
      </c>
      <c r="E21" s="12">
        <f>'Balance Sheet'!D15/'Balance Sheet'!D20*100</f>
        <v>69.5925291700843</v>
      </c>
      <c r="F21" s="12">
        <f>'Balance Sheet'!E15/'Balance Sheet'!E20*100</f>
        <v>69.8052311705033</v>
      </c>
      <c r="G21" s="12">
        <f>'Balance Sheet'!F15/'Balance Sheet'!F20*100</f>
        <v>68.6494639616717</v>
      </c>
    </row>
    <row r="23" spans="4:10">
      <c r="G23" s="22" t="s">
        <v>15</v>
      </c>
      <c r="H23" s="22"/>
      <c r="I23" s="22"/>
      <c r="J23" s="22"/>
    </row>
  </sheetData>
  <mergeCells count="3">
    <mergeCell ref="D2:G2"/>
    <mergeCell ref="D12:G12"/>
    <mergeCell ref="G23:J23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4"/>
  <sheetViews>
    <sheetView topLeftCell="A10" workbookViewId="0">
      <selection activeCell="F14" sqref="F14:I14"/>
    </sheetView>
  </sheetViews>
  <sheetFormatPr defaultColWidth="9.14285714285714" defaultRowHeight="15"/>
  <cols>
    <col min="2" max="2" width="17.7142857142857" customWidth="1"/>
    <col min="3" max="4" width="11.7142857142857" customWidth="1"/>
    <col min="5" max="5" width="12.1428571428571" customWidth="1"/>
    <col min="6" max="6" width="16.8571428571429" customWidth="1"/>
  </cols>
  <sheetData>
    <row r="2" ht="18.75" spans="2:16">
      <c r="B2" s="18" t="s">
        <v>39</v>
      </c>
      <c r="C2" s="19"/>
      <c r="D2" s="19"/>
      <c r="E2" s="19"/>
      <c r="F2" s="19"/>
    </row>
    <row r="3" ht="15.75" spans="2:16">
      <c r="B3" s="23"/>
      <c r="C3" s="24"/>
      <c r="D3" s="24"/>
      <c r="E3" s="25"/>
    </row>
    <row r="4" ht="15.75" spans="2:16">
      <c r="B4" s="26" t="s">
        <v>40</v>
      </c>
      <c r="C4" s="27">
        <v>45747</v>
      </c>
      <c r="D4" s="27">
        <v>45382</v>
      </c>
      <c r="E4" s="27">
        <v>45016</v>
      </c>
      <c r="F4" s="10" t="s">
        <v>41</v>
      </c>
    </row>
    <row r="5" ht="105" spans="2:16">
      <c r="B5" s="26" t="s">
        <v>42</v>
      </c>
      <c r="C5" s="28">
        <v>0.1566</v>
      </c>
      <c r="D5" s="28">
        <v>0.206</v>
      </c>
      <c r="E5" s="29" t="s">
        <v>43</v>
      </c>
      <c r="F5" s="30" t="s">
        <v>44</v>
      </c>
      <c r="G5" s="31"/>
      <c r="H5" s="31"/>
      <c r="I5" s="31"/>
      <c r="J5" s="31"/>
      <c r="K5" s="31"/>
      <c r="L5" s="31"/>
      <c r="M5" s="31"/>
      <c r="N5" s="31"/>
      <c r="O5" s="31"/>
    </row>
    <row r="6" ht="90" spans="2:16">
      <c r="B6" s="26" t="s">
        <v>45</v>
      </c>
      <c r="C6" s="28">
        <v>0.1368</v>
      </c>
      <c r="D6" s="28">
        <v>0.2407</v>
      </c>
      <c r="E6" s="32" t="s">
        <v>43</v>
      </c>
      <c r="F6" s="30" t="s">
        <v>46</v>
      </c>
      <c r="G6" s="31"/>
      <c r="H6" s="31"/>
      <c r="I6" s="31"/>
      <c r="J6" s="31"/>
      <c r="K6" s="31"/>
      <c r="L6" s="31"/>
      <c r="M6" s="31"/>
    </row>
    <row r="7" ht="120" spans="2:16">
      <c r="B7" s="26" t="s">
        <v>33</v>
      </c>
      <c r="C7" s="33">
        <v>1.21</v>
      </c>
      <c r="D7" s="33">
        <v>1.23</v>
      </c>
      <c r="E7" s="34">
        <v>1.36</v>
      </c>
      <c r="F7" s="35" t="s">
        <v>47</v>
      </c>
      <c r="G7" s="31"/>
      <c r="H7" s="31"/>
      <c r="I7" s="31"/>
      <c r="J7" s="31"/>
      <c r="K7" s="31"/>
      <c r="L7" s="31"/>
      <c r="M7" s="31"/>
      <c r="N7" s="31"/>
      <c r="O7" s="31"/>
      <c r="P7" s="31"/>
    </row>
    <row r="8" ht="120" spans="2:16">
      <c r="B8" s="26" t="s">
        <v>34</v>
      </c>
      <c r="C8" s="33">
        <v>1.12</v>
      </c>
      <c r="D8" s="33">
        <v>1.11</v>
      </c>
      <c r="E8" s="34">
        <v>1.14</v>
      </c>
      <c r="F8" s="30" t="s">
        <v>48</v>
      </c>
      <c r="G8" s="31"/>
      <c r="H8" s="31"/>
      <c r="I8" s="31"/>
      <c r="J8" s="31"/>
      <c r="K8" s="31"/>
      <c r="L8" s="31"/>
      <c r="M8" s="31"/>
      <c r="N8" s="31"/>
      <c r="O8" s="31"/>
      <c r="P8" s="31"/>
    </row>
    <row r="9" ht="75" spans="2:16">
      <c r="B9" s="10" t="s">
        <v>49</v>
      </c>
      <c r="C9" s="13">
        <v>0.0691</v>
      </c>
      <c r="D9" s="13">
        <v>0.0703</v>
      </c>
      <c r="E9" s="13">
        <v>0.0683</v>
      </c>
      <c r="F9" s="30" t="s">
        <v>50</v>
      </c>
      <c r="G9" s="31"/>
      <c r="H9" s="31"/>
      <c r="I9" s="31"/>
      <c r="J9" s="31"/>
      <c r="K9" s="31"/>
      <c r="L9" s="31"/>
    </row>
    <row r="10" ht="120" spans="2:16">
      <c r="B10" s="10" t="s">
        <v>51</v>
      </c>
      <c r="C10" s="13">
        <v>0.1531</v>
      </c>
      <c r="D10" s="13">
        <v>0.1561</v>
      </c>
      <c r="E10" s="13">
        <v>0.121</v>
      </c>
      <c r="F10" s="30" t="s">
        <v>52</v>
      </c>
    </row>
    <row r="11" ht="90" spans="2:16">
      <c r="B11" s="10" t="s">
        <v>37</v>
      </c>
      <c r="C11" s="13">
        <v>0.0466</v>
      </c>
      <c r="D11" s="13">
        <v>0.0457</v>
      </c>
      <c r="E11" s="13">
        <v>0.0379</v>
      </c>
      <c r="F11" s="30" t="s">
        <v>53</v>
      </c>
    </row>
    <row r="12" ht="120" spans="2:16">
      <c r="B12" s="10" t="s">
        <v>38</v>
      </c>
      <c r="C12" s="13">
        <v>0.6959</v>
      </c>
      <c r="D12" s="13">
        <v>0.698</v>
      </c>
      <c r="E12" s="13">
        <v>0.6865</v>
      </c>
      <c r="F12" s="30" t="s">
        <v>54</v>
      </c>
    </row>
    <row r="14" spans="2:16">
      <c r="F14" s="22" t="s">
        <v>15</v>
      </c>
      <c r="G14" s="22"/>
      <c r="H14" s="22"/>
      <c r="I14" s="22"/>
    </row>
  </sheetData>
  <mergeCells count="2">
    <mergeCell ref="B2:F2"/>
    <mergeCell ref="F14:I14"/>
  </mergeCell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9"/>
  <sheetViews>
    <sheetView workbookViewId="0">
      <selection activeCell="J14" sqref="J14"/>
    </sheetView>
  </sheetViews>
  <sheetFormatPr defaultColWidth="9.14285714285714" defaultRowHeight="15"/>
  <cols>
    <col min="2" max="2" width="15.7142857142857" customWidth="1"/>
    <col min="3" max="4" width="12.1428571428571" customWidth="1"/>
    <col min="5" max="5" width="11.7142857142857" customWidth="1"/>
    <col min="6" max="6" width="9.57142857142857"/>
    <col min="7" max="8" width="10.5714285714286"/>
    <col min="9" max="9" width="9.57142857142857"/>
    <col min="10" max="10" width="17.7142857142857" customWidth="1"/>
    <col min="11" max="11" width="11" customWidth="1"/>
    <col min="16" max="16" width="17.7142857142857" customWidth="1"/>
    <col min="17" max="17" width="10.5714285714286"/>
    <col min="18" max="18" width="9.57142857142857"/>
    <col min="20" max="20" width="9.85714285714286" customWidth="1"/>
    <col min="21" max="21" width="17.7142857142857" customWidth="1"/>
    <col min="28" max="30" width="12.1428571428571"/>
  </cols>
  <sheetData>
    <row r="1" ht="15.75" spans="1:30">
      <c r="A1" s="1"/>
      <c r="B1" s="1"/>
      <c r="C1" s="2" t="s">
        <v>55</v>
      </c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</row>
    <row r="2" ht="15.75" spans="1:30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</row>
    <row r="3" ht="15.75" spans="1:30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</row>
    <row r="4" ht="15.75" spans="1:30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</row>
    <row r="5" ht="15.75" spans="1:30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/>
    </row>
    <row r="6" ht="15.75" spans="1:30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</row>
    <row r="7" ht="15.75" spans="1:30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</row>
    <row r="8" ht="15.75" spans="1:30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</row>
    <row r="9" ht="15.75" spans="1:30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</row>
    <row r="10" ht="15.75" spans="1:3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</row>
    <row r="11" ht="15.75" spans="1:30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</row>
    <row r="12" ht="15.75" spans="1:30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</row>
    <row r="13" spans="1:30">
      <c r="AA13" s="4"/>
      <c r="AB13" s="5"/>
      <c r="AC13" s="5"/>
      <c r="AD13" s="4"/>
    </row>
    <row r="14" ht="15.75" spans="1:30">
      <c r="AA14" s="6"/>
      <c r="AB14" s="7"/>
      <c r="AC14" s="7"/>
      <c r="AD14" s="7"/>
    </row>
    <row r="15" spans="1:30">
      <c r="AA15" s="8"/>
      <c r="AB15" s="8"/>
      <c r="AC15" s="8"/>
      <c r="AD15" s="8"/>
    </row>
    <row r="16" spans="1:30">
      <c r="P16" s="9" t="s">
        <v>56</v>
      </c>
      <c r="Q16" s="10" t="s">
        <v>17</v>
      </c>
      <c r="R16" s="9" t="s">
        <v>57</v>
      </c>
      <c r="U16" s="10" t="s">
        <v>58</v>
      </c>
      <c r="V16" s="11" t="s">
        <v>59</v>
      </c>
      <c r="W16" s="11" t="s">
        <v>60</v>
      </c>
      <c r="X16" s="11" t="s">
        <v>61</v>
      </c>
      <c r="AA16" s="8"/>
      <c r="AB16" s="8"/>
      <c r="AC16" s="8"/>
      <c r="AD16" s="8"/>
    </row>
    <row r="17" spans="12:30">
      <c r="P17" s="10" t="s">
        <v>59</v>
      </c>
      <c r="Q17" s="12">
        <v>183340.7</v>
      </c>
      <c r="R17" s="10">
        <v>12530.62</v>
      </c>
      <c r="U17" s="10" t="s">
        <v>49</v>
      </c>
      <c r="V17" s="13">
        <v>0.0683</v>
      </c>
      <c r="W17" s="13">
        <v>0.0703</v>
      </c>
      <c r="X17" s="13">
        <v>0.0691</v>
      </c>
      <c r="AA17" s="8"/>
      <c r="AB17" s="14"/>
      <c r="AC17" s="8"/>
      <c r="AD17" s="8"/>
    </row>
    <row r="18" spans="12:30">
      <c r="P18" s="10" t="s">
        <v>60</v>
      </c>
      <c r="Q18" s="10">
        <v>221112.91</v>
      </c>
      <c r="R18" s="12">
        <v>15547.1</v>
      </c>
      <c r="U18" s="10" t="s">
        <v>62</v>
      </c>
      <c r="V18" s="13">
        <v>0.121</v>
      </c>
      <c r="W18" s="13">
        <v>0.1561</v>
      </c>
      <c r="X18" s="13">
        <v>0.1531</v>
      </c>
      <c r="AA18" s="8"/>
      <c r="AB18" s="15"/>
      <c r="AC18" s="8"/>
      <c r="AD18" s="8"/>
    </row>
    <row r="19" spans="12:30">
      <c r="P19" s="10" t="s">
        <v>61</v>
      </c>
      <c r="Q19" s="10">
        <v>255734.45</v>
      </c>
      <c r="R19" s="10">
        <v>17673.33</v>
      </c>
      <c r="U19" s="10" t="s">
        <v>63</v>
      </c>
      <c r="V19" s="13">
        <v>0.0379</v>
      </c>
      <c r="W19" s="13">
        <v>0.0457</v>
      </c>
      <c r="X19" s="13">
        <v>0.0466</v>
      </c>
      <c r="AA19" s="8"/>
      <c r="AB19" s="15"/>
      <c r="AC19" s="8"/>
      <c r="AD19" s="8"/>
    </row>
    <row r="20" spans="12:30">
      <c r="L20" s="16"/>
      <c r="AA20" s="8"/>
      <c r="AB20" s="8"/>
      <c r="AC20" s="8"/>
      <c r="AD20" s="8"/>
    </row>
    <row r="22" spans="12:30">
      <c r="P22" s="10" t="s">
        <v>58</v>
      </c>
      <c r="Q22" s="11" t="s">
        <v>59</v>
      </c>
      <c r="R22" s="11" t="s">
        <v>60</v>
      </c>
      <c r="S22" s="11" t="s">
        <v>61</v>
      </c>
      <c r="U22" s="10" t="s">
        <v>58</v>
      </c>
      <c r="V22" s="11" t="s">
        <v>59</v>
      </c>
      <c r="W22" s="11" t="s">
        <v>60</v>
      </c>
      <c r="X22" s="11" t="s">
        <v>64</v>
      </c>
    </row>
    <row r="23" spans="12:30">
      <c r="P23" s="10" t="s">
        <v>33</v>
      </c>
      <c r="Q23" s="10">
        <v>1.36</v>
      </c>
      <c r="R23" s="10">
        <v>1.23</v>
      </c>
      <c r="S23" s="10">
        <v>1.21</v>
      </c>
      <c r="U23" s="10" t="s">
        <v>38</v>
      </c>
      <c r="V23" s="13">
        <v>0.6865</v>
      </c>
      <c r="W23" s="13">
        <v>0.698</v>
      </c>
      <c r="X23" s="13">
        <v>0.6959</v>
      </c>
      <c r="AD23" s="16"/>
    </row>
    <row r="24" spans="12:30">
      <c r="P24" s="10" t="s">
        <v>34</v>
      </c>
      <c r="Q24" s="10">
        <v>1.14</v>
      </c>
      <c r="R24" s="10">
        <v>1.11</v>
      </c>
      <c r="S24" s="10">
        <v>1.12</v>
      </c>
    </row>
    <row r="33" spans="2:15">
      <c r="M33" s="17"/>
    </row>
    <row r="44" ht="18.75" spans="2:15">
      <c r="E44" s="18" t="s">
        <v>65</v>
      </c>
      <c r="F44" s="19"/>
      <c r="G44" s="19"/>
      <c r="H44" s="19"/>
      <c r="I44" s="19"/>
      <c r="J44" s="19"/>
    </row>
    <row r="46" ht="15.75" spans="2:15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0"/>
    </row>
    <row r="47" ht="15.75" spans="2:15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0"/>
    </row>
    <row r="48" ht="15.75" spans="2:15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0"/>
    </row>
    <row r="49" spans="2:15"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0"/>
    </row>
    <row r="50" spans="2:15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0"/>
    </row>
    <row r="51" spans="2:15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0"/>
    </row>
    <row r="52" spans="2:15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0"/>
    </row>
    <row r="53" spans="2:15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0"/>
    </row>
    <row r="54" spans="2:15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0"/>
    </row>
    <row r="55" spans="2:15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0"/>
    </row>
    <row r="56" spans="2:15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0"/>
    </row>
    <row r="57" spans="2:15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0"/>
    </row>
    <row r="58" spans="2:1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1" ht="18.75" spans="2:15">
      <c r="G61" s="18" t="s">
        <v>66</v>
      </c>
      <c r="H61" s="19"/>
    </row>
    <row r="63" spans="2:15">
      <c r="C63" s="22"/>
      <c r="D63" s="22"/>
      <c r="E63" s="22"/>
      <c r="F63" s="22"/>
      <c r="G63" s="22"/>
      <c r="H63" s="22"/>
      <c r="I63" s="22"/>
      <c r="J63" s="22"/>
      <c r="K63" s="22"/>
    </row>
    <row r="64" spans="2:15">
      <c r="C64" s="22"/>
      <c r="D64" s="22"/>
      <c r="E64" s="22"/>
      <c r="F64" s="22"/>
      <c r="G64" s="22"/>
      <c r="H64" s="22"/>
      <c r="I64" s="22"/>
      <c r="J64" s="22"/>
      <c r="K64" s="22"/>
    </row>
    <row r="65" spans="3:14">
      <c r="C65" s="22"/>
      <c r="D65" s="22"/>
      <c r="E65" s="22"/>
      <c r="F65" s="22"/>
      <c r="G65" s="22"/>
      <c r="H65" s="22"/>
      <c r="I65" s="22"/>
      <c r="J65" s="22"/>
      <c r="K65" s="22"/>
    </row>
    <row r="66" spans="3:14">
      <c r="C66" s="22"/>
      <c r="D66" s="22"/>
      <c r="E66" s="22"/>
      <c r="F66" s="22"/>
      <c r="G66" s="22"/>
      <c r="H66" s="22"/>
      <c r="I66" s="22"/>
      <c r="J66" s="22"/>
      <c r="K66" s="22"/>
    </row>
    <row r="69" spans="3:14">
      <c r="K69" s="22" t="s">
        <v>15</v>
      </c>
      <c r="L69" s="22"/>
      <c r="M69" s="22"/>
      <c r="N69" s="22"/>
    </row>
  </sheetData>
  <mergeCells count="6">
    <mergeCell ref="E44:J44"/>
    <mergeCell ref="G61:H61"/>
    <mergeCell ref="K69:N69"/>
    <mergeCell ref="C1:M12"/>
    <mergeCell ref="C63:K66"/>
    <mergeCell ref="C46:N57"/>
  </mergeCell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Balance Sheet</vt:lpstr>
      <vt:lpstr>Income Statement</vt:lpstr>
      <vt:lpstr>Cash Flow</vt:lpstr>
      <vt:lpstr>Financial Ratios</vt:lpstr>
      <vt:lpstr>Financial 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SHAKTHI SHABHARISH</dc:creator>
  <cp:lastModifiedBy>Shakthi Shabharish</cp:lastModifiedBy>
  <dcterms:created xsi:type="dcterms:W3CDTF">2026-08-03T07:20:00Z</dcterms:created>
  <dcterms:modified xsi:type="dcterms:W3CDTF">2026-09-03T12:39:26Z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98AED52143264FB891BFDCBA9AEF8D1D_11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